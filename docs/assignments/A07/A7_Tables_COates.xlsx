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ds\Documents\"/>
    </mc:Choice>
  </mc:AlternateContent>
  <xr:revisionPtr revIDLastSave="0" documentId="8_{BEE75ADF-F4C1-422C-9A8E-ED0A4E1A0C9E}" xr6:coauthVersionLast="47" xr6:coauthVersionMax="47" xr10:uidLastSave="{00000000-0000-0000-0000-000000000000}"/>
  <bookViews>
    <workbookView xWindow="-105" yWindow="10440" windowWidth="26280" windowHeight="10545" xr2:uid="{428B05B8-8E60-4D28-9751-B8784FCCE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5" i="1" l="1"/>
  <c r="F67" i="1"/>
  <c r="G56" i="1"/>
  <c r="G54" i="1"/>
  <c r="G52" i="1"/>
  <c r="I67" i="1"/>
  <c r="G67" i="1"/>
  <c r="G65" i="1"/>
  <c r="F65" i="1"/>
  <c r="I63" i="1"/>
  <c r="G63" i="1"/>
  <c r="F63" i="1"/>
  <c r="I52" i="1"/>
  <c r="I56" i="1"/>
  <c r="F56" i="1"/>
  <c r="I54" i="1"/>
  <c r="F54" i="1"/>
  <c r="F52" i="1"/>
  <c r="G45" i="1"/>
  <c r="G43" i="1"/>
  <c r="G41" i="1"/>
  <c r="F41" i="1"/>
  <c r="I45" i="1"/>
  <c r="I43" i="1"/>
  <c r="I41" i="1"/>
  <c r="F45" i="1"/>
  <c r="F43" i="1"/>
  <c r="I31" i="1"/>
  <c r="I29" i="1"/>
  <c r="I27" i="1"/>
  <c r="G31" i="1"/>
  <c r="F31" i="1"/>
  <c r="G29" i="1"/>
  <c r="F29" i="1"/>
  <c r="G27" i="1"/>
  <c r="F27" i="1"/>
  <c r="I20" i="1"/>
  <c r="I18" i="1"/>
  <c r="I16" i="1"/>
  <c r="I9" i="1"/>
  <c r="I7" i="1"/>
  <c r="I5" i="1"/>
  <c r="F5" i="1"/>
  <c r="G20" i="1"/>
  <c r="F20" i="1"/>
  <c r="G18" i="1"/>
  <c r="F18" i="1"/>
  <c r="E5" i="1"/>
  <c r="D5" i="1"/>
  <c r="C5" i="1"/>
  <c r="F9" i="1"/>
  <c r="F7" i="1"/>
  <c r="G9" i="1"/>
  <c r="G7" i="1"/>
  <c r="G5" i="1"/>
  <c r="G16" i="1" l="1"/>
  <c r="F16" i="1"/>
</calcChain>
</file>

<file path=xl/sharedStrings.xml><?xml version="1.0" encoding="utf-8"?>
<sst xmlns="http://schemas.openxmlformats.org/spreadsheetml/2006/main" count="102" uniqueCount="23">
  <si>
    <t>Design 1</t>
  </si>
  <si>
    <t>First Loop</t>
  </si>
  <si>
    <t>Location</t>
  </si>
  <si>
    <t>Min. Safety Factor</t>
  </si>
  <si>
    <t>Number of Elements</t>
  </si>
  <si>
    <t>FEA1</t>
  </si>
  <si>
    <t>FEA2</t>
  </si>
  <si>
    <t>FEA3</t>
  </si>
  <si>
    <t>Error %</t>
  </si>
  <si>
    <t>Feature B</t>
  </si>
  <si>
    <t>Feature A</t>
  </si>
  <si>
    <t>Final Value</t>
  </si>
  <si>
    <t>Max Displacement (in)</t>
  </si>
  <si>
    <t>Mass (lb)</t>
  </si>
  <si>
    <t>Max Stress (ksi)</t>
  </si>
  <si>
    <t>Design 2</t>
  </si>
  <si>
    <t>Second Loop</t>
  </si>
  <si>
    <t>FEA1/FEA2 Error %</t>
  </si>
  <si>
    <t>Design 3</t>
  </si>
  <si>
    <t>Third Loop</t>
  </si>
  <si>
    <t>Bracket</t>
  </si>
  <si>
    <t>Link</t>
  </si>
  <si>
    <t>FN1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</si>
</sst>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166" fontId="0" fillId="0" borderId="0" xfId="0" applyNumberFormat="1" applyBorder="1"/>
    <xf numFmtId="0" fontId="2" fillId="0" borderId="4" xfId="0" applyFont="1" applyBorder="1"/>
    <xf numFmtId="11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11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903E-7558-4A21-8B54-B460A9C90455}">
  <dimension ref="B1:I69"/>
  <sheetViews>
    <sheetView tabSelected="1" topLeftCell="A16" workbookViewId="0">
      <selection activeCell="E68" sqref="E68"/>
    </sheetView>
  </sheetViews>
  <sheetFormatPr defaultRowHeight="15" x14ac:dyDescent="0.25"/>
  <cols>
    <col min="1" max="1" width="9.85546875" customWidth="1"/>
    <col min="2" max="2" width="21" bestFit="1" customWidth="1"/>
    <col min="6" max="7" width="10.85546875" bestFit="1" customWidth="1"/>
    <col min="9" max="9" width="16.85546875" bestFit="1" customWidth="1"/>
  </cols>
  <sheetData>
    <row r="1" spans="2:9" x14ac:dyDescent="0.25">
      <c r="B1" t="s">
        <v>20</v>
      </c>
    </row>
    <row r="2" spans="2:9" x14ac:dyDescent="0.25">
      <c r="I2" t="s">
        <v>17</v>
      </c>
    </row>
    <row r="3" spans="2:9" x14ac:dyDescent="0.25">
      <c r="B3" s="1" t="s">
        <v>0</v>
      </c>
      <c r="C3" s="2"/>
      <c r="D3" s="2"/>
      <c r="E3" s="2"/>
      <c r="F3" s="2"/>
      <c r="G3" s="3"/>
    </row>
    <row r="4" spans="2:9" x14ac:dyDescent="0.25">
      <c r="B4" s="4" t="s">
        <v>1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11</v>
      </c>
    </row>
    <row r="5" spans="2:9" x14ac:dyDescent="0.25">
      <c r="B5" s="7" t="s">
        <v>14</v>
      </c>
      <c r="C5" s="5">
        <f>245630 / 1000</f>
        <v>245.63</v>
      </c>
      <c r="D5" s="5">
        <f>405593 / 1000</f>
        <v>405.59300000000002</v>
      </c>
      <c r="E5" s="5">
        <f>446420 / 1000</f>
        <v>446.42</v>
      </c>
      <c r="F5" s="8">
        <f>2 * ((ABS(E5 - C5)) / (C5 + E5)) * 100</f>
        <v>58.027599161910281</v>
      </c>
      <c r="G5" s="6">
        <f>E5</f>
        <v>446.42</v>
      </c>
      <c r="I5" s="8">
        <f>2 * ((ABS(D5 - C5)) / (C5 + D5)) * 100</f>
        <v>49.126950368767694</v>
      </c>
    </row>
    <row r="6" spans="2:9" x14ac:dyDescent="0.25">
      <c r="B6" s="9" t="s">
        <v>2</v>
      </c>
      <c r="C6" s="5" t="s">
        <v>9</v>
      </c>
      <c r="D6" s="5"/>
      <c r="E6" s="5"/>
      <c r="F6" s="5"/>
      <c r="G6" s="6"/>
    </row>
    <row r="7" spans="2:9" x14ac:dyDescent="0.25">
      <c r="B7" s="7" t="s">
        <v>12</v>
      </c>
      <c r="C7" s="5">
        <v>0.113</v>
      </c>
      <c r="D7" s="5">
        <v>0.2</v>
      </c>
      <c r="E7" s="5">
        <v>0.214</v>
      </c>
      <c r="F7" s="8">
        <f>2 * ((ABS(E7 - C7)) / (C7 + E7)) * 100</f>
        <v>61.773700305810387</v>
      </c>
      <c r="G7" s="6">
        <f>E7</f>
        <v>0.214</v>
      </c>
      <c r="I7" s="8">
        <f>2 * ((ABS(D7 - C7)) / (C7 + D7)) * 100</f>
        <v>55.591054313099043</v>
      </c>
    </row>
    <row r="8" spans="2:9" x14ac:dyDescent="0.25">
      <c r="B8" s="9" t="s">
        <v>2</v>
      </c>
      <c r="C8" s="5" t="s">
        <v>10</v>
      </c>
      <c r="D8" s="5"/>
      <c r="E8" s="5"/>
      <c r="F8" s="5"/>
      <c r="G8" s="6"/>
    </row>
    <row r="9" spans="2:9" x14ac:dyDescent="0.25">
      <c r="B9" s="7" t="s">
        <v>3</v>
      </c>
      <c r="C9" s="10">
        <v>2.1399999999999998E-5</v>
      </c>
      <c r="D9" s="10">
        <v>1.2999999999999999E-5</v>
      </c>
      <c r="E9" s="10">
        <v>1.1800000000000001E-5</v>
      </c>
      <c r="F9" s="8">
        <f>2 * ((ABS(E9 - C9)) / (C9 + E9)) * 100</f>
        <v>57.831325301204807</v>
      </c>
      <c r="G9" s="6">
        <f>E9</f>
        <v>1.1800000000000001E-5</v>
      </c>
      <c r="I9" s="8">
        <f>2 * ((ABS(D9 - C9)) / (C9 + D9)) * 100</f>
        <v>48.837209302325583</v>
      </c>
    </row>
    <row r="10" spans="2:9" x14ac:dyDescent="0.25">
      <c r="B10" s="7" t="s">
        <v>4</v>
      </c>
      <c r="C10" s="5">
        <v>1159</v>
      </c>
      <c r="D10" s="5">
        <v>7565</v>
      </c>
      <c r="E10" s="5">
        <v>66383</v>
      </c>
      <c r="F10" s="5"/>
      <c r="G10" s="6"/>
    </row>
    <row r="11" spans="2:9" x14ac:dyDescent="0.25">
      <c r="B11" s="11" t="s">
        <v>13</v>
      </c>
      <c r="C11" s="12">
        <v>3.03</v>
      </c>
      <c r="D11" s="12"/>
      <c r="E11" s="12"/>
      <c r="F11" s="12"/>
      <c r="G11" s="13"/>
    </row>
    <row r="14" spans="2:9" x14ac:dyDescent="0.25">
      <c r="B14" s="1" t="s">
        <v>15</v>
      </c>
      <c r="C14" s="2"/>
      <c r="D14" s="2"/>
      <c r="E14" s="2"/>
      <c r="F14" s="2"/>
      <c r="G14" s="3"/>
    </row>
    <row r="15" spans="2:9" x14ac:dyDescent="0.25">
      <c r="B15" s="4" t="s">
        <v>16</v>
      </c>
      <c r="C15" s="5" t="s">
        <v>5</v>
      </c>
      <c r="D15" s="5" t="s">
        <v>6</v>
      </c>
      <c r="E15" s="5" t="s">
        <v>7</v>
      </c>
      <c r="F15" s="5" t="s">
        <v>8</v>
      </c>
      <c r="G15" s="6" t="s">
        <v>11</v>
      </c>
    </row>
    <row r="16" spans="2:9" x14ac:dyDescent="0.25">
      <c r="B16" s="7" t="s">
        <v>14</v>
      </c>
      <c r="C16" s="5">
        <v>37.299999999999997</v>
      </c>
      <c r="D16" s="5">
        <v>47.2</v>
      </c>
      <c r="E16" s="5">
        <v>63.5</v>
      </c>
      <c r="F16" s="8">
        <f>2 * ((ABS(E16 - C16)) / (C16 + E16)) * 100</f>
        <v>51.984126984126988</v>
      </c>
      <c r="G16" s="6">
        <f>E16</f>
        <v>63.5</v>
      </c>
      <c r="I16" s="8">
        <f>2 * ((ABS(D16 - C16)) / (C16 + D16)) * 100</f>
        <v>23.431952662721908</v>
      </c>
    </row>
    <row r="17" spans="2:9" x14ac:dyDescent="0.25">
      <c r="B17" s="9" t="s">
        <v>2</v>
      </c>
      <c r="C17" s="5" t="s">
        <v>9</v>
      </c>
      <c r="D17" s="5"/>
      <c r="E17" s="5"/>
      <c r="F17" s="5"/>
      <c r="G17" s="6"/>
      <c r="I17" s="8"/>
    </row>
    <row r="18" spans="2:9" x14ac:dyDescent="0.25">
      <c r="B18" s="7" t="s">
        <v>12</v>
      </c>
      <c r="C18" s="5">
        <v>9.4500000000000001E-2</v>
      </c>
      <c r="D18" s="5">
        <v>0.104</v>
      </c>
      <c r="E18" s="5">
        <v>0.109</v>
      </c>
      <c r="F18" s="8">
        <f>2 * ((ABS(E18 - C18)) / (C18 + E18)) * 100</f>
        <v>14.25061425061425</v>
      </c>
      <c r="G18" s="6">
        <f>E18</f>
        <v>0.109</v>
      </c>
      <c r="I18" s="8">
        <f>2 * ((ABS(D18 - C18)) / (C18 + D18)) * 100</f>
        <v>9.5717884130982309</v>
      </c>
    </row>
    <row r="19" spans="2:9" x14ac:dyDescent="0.25">
      <c r="B19" s="9" t="s">
        <v>2</v>
      </c>
      <c r="C19" s="5" t="s">
        <v>10</v>
      </c>
      <c r="D19" s="5"/>
      <c r="E19" s="5"/>
      <c r="F19" s="5"/>
      <c r="G19" s="6"/>
    </row>
    <row r="20" spans="2:9" x14ac:dyDescent="0.25">
      <c r="B20" s="7" t="s">
        <v>3</v>
      </c>
      <c r="C20" s="10">
        <v>0.96599999999999997</v>
      </c>
      <c r="D20" s="10">
        <v>0.76200000000000001</v>
      </c>
      <c r="E20" s="10">
        <v>0.56699999999999995</v>
      </c>
      <c r="F20" s="8">
        <f>2 * ((ABS(E20 - C20)) / (C20 + E20)) * 100</f>
        <v>52.054794520547951</v>
      </c>
      <c r="G20" s="6">
        <f>E20</f>
        <v>0.56699999999999995</v>
      </c>
      <c r="I20" s="8">
        <f>2 * ((ABS(D20 - C20)) / (C20 + D20)) * 100</f>
        <v>23.611111111111107</v>
      </c>
    </row>
    <row r="21" spans="2:9" x14ac:dyDescent="0.25">
      <c r="B21" s="7" t="s">
        <v>4</v>
      </c>
      <c r="C21" s="5">
        <v>1946</v>
      </c>
      <c r="D21" s="14">
        <v>7524</v>
      </c>
      <c r="E21" s="14">
        <v>64561</v>
      </c>
      <c r="F21" s="5"/>
      <c r="G21" s="6"/>
    </row>
    <row r="22" spans="2:9" x14ac:dyDescent="0.25">
      <c r="B22" s="11" t="s">
        <v>13</v>
      </c>
      <c r="C22" s="12">
        <v>2.4900000000000002</v>
      </c>
      <c r="D22" s="12"/>
      <c r="E22" s="12"/>
      <c r="F22" s="12"/>
      <c r="G22" s="13"/>
    </row>
    <row r="25" spans="2:9" x14ac:dyDescent="0.25">
      <c r="B25" s="1" t="s">
        <v>18</v>
      </c>
      <c r="C25" s="2"/>
      <c r="D25" s="2"/>
      <c r="E25" s="2"/>
      <c r="F25" s="2"/>
      <c r="G25" s="3"/>
    </row>
    <row r="26" spans="2:9" x14ac:dyDescent="0.25">
      <c r="B26" s="4" t="s">
        <v>19</v>
      </c>
      <c r="C26" s="5" t="s">
        <v>5</v>
      </c>
      <c r="D26" s="5" t="s">
        <v>6</v>
      </c>
      <c r="E26" s="5" t="s">
        <v>7</v>
      </c>
      <c r="F26" s="5" t="s">
        <v>8</v>
      </c>
      <c r="G26" s="6" t="s">
        <v>11</v>
      </c>
    </row>
    <row r="27" spans="2:9" x14ac:dyDescent="0.25">
      <c r="B27" s="7" t="s">
        <v>14</v>
      </c>
      <c r="C27" s="5">
        <v>27.1</v>
      </c>
      <c r="D27" s="5">
        <v>33.299999999999997</v>
      </c>
      <c r="E27" s="5">
        <v>44.4</v>
      </c>
      <c r="F27" s="8">
        <f>2 * ((ABS(E27 - C27)) / (C27 + E27)) * 100</f>
        <v>48.391608391608379</v>
      </c>
      <c r="G27" s="6">
        <f>E27</f>
        <v>44.4</v>
      </c>
      <c r="I27" s="8">
        <f>2 * ((ABS(D27 - C27)) / (C27 + D27)) * 100</f>
        <v>20.529801324503296</v>
      </c>
    </row>
    <row r="28" spans="2:9" x14ac:dyDescent="0.25">
      <c r="B28" s="9" t="s">
        <v>2</v>
      </c>
      <c r="C28" s="5" t="s">
        <v>9</v>
      </c>
      <c r="D28" s="5"/>
      <c r="E28" s="5"/>
      <c r="F28" s="5"/>
      <c r="G28" s="6"/>
    </row>
    <row r="29" spans="2:9" x14ac:dyDescent="0.25">
      <c r="B29" s="7" t="s">
        <v>12</v>
      </c>
      <c r="C29" s="5">
        <v>6.7500000000000004E-2</v>
      </c>
      <c r="D29" s="5">
        <v>7.1400000000000005E-2</v>
      </c>
      <c r="E29" s="5">
        <v>7.2999999999999995E-2</v>
      </c>
      <c r="F29" s="8">
        <f>2 * ((ABS(E29 - C29)) / (C29 + E29)) * 100</f>
        <v>7.829181494661908</v>
      </c>
      <c r="G29" s="6">
        <f>E29</f>
        <v>7.2999999999999995E-2</v>
      </c>
      <c r="I29" s="8">
        <f>2 * ((ABS(D29 - C29)) / (C29 + D29)) * 100</f>
        <v>5.615550755939525</v>
      </c>
    </row>
    <row r="30" spans="2:9" x14ac:dyDescent="0.25">
      <c r="B30" s="9" t="s">
        <v>2</v>
      </c>
      <c r="C30" s="5" t="s">
        <v>10</v>
      </c>
      <c r="D30" s="5"/>
      <c r="E30" s="5"/>
      <c r="F30" s="5"/>
      <c r="G30" s="6"/>
    </row>
    <row r="31" spans="2:9" x14ac:dyDescent="0.25">
      <c r="B31" s="7" t="s">
        <v>3</v>
      </c>
      <c r="C31" s="10">
        <v>1.33</v>
      </c>
      <c r="D31" s="10">
        <v>1.08</v>
      </c>
      <c r="E31" s="10">
        <v>0.81100000000000005</v>
      </c>
      <c r="F31" s="8">
        <f>2 * ((ABS(E31 - C31)) / (C31 + E31)) * 100</f>
        <v>48.482017748715556</v>
      </c>
      <c r="G31" s="6">
        <f>E31</f>
        <v>0.81100000000000005</v>
      </c>
      <c r="I31" s="8">
        <f>2 * ((ABS(D31 - C31)) / (C31 + D31)) * 100</f>
        <v>20.746887966804977</v>
      </c>
    </row>
    <row r="32" spans="2:9" x14ac:dyDescent="0.25">
      <c r="B32" s="7" t="s">
        <v>4</v>
      </c>
      <c r="C32" s="14">
        <v>1574</v>
      </c>
      <c r="D32" s="14">
        <v>7756</v>
      </c>
      <c r="E32" s="5">
        <v>67463</v>
      </c>
      <c r="F32" s="5"/>
      <c r="G32" s="6"/>
    </row>
    <row r="33" spans="2:9" x14ac:dyDescent="0.25">
      <c r="B33" s="11" t="s">
        <v>13</v>
      </c>
      <c r="C33" s="12">
        <v>1.33</v>
      </c>
      <c r="D33" s="12"/>
      <c r="E33" s="12"/>
      <c r="F33" s="12"/>
      <c r="G33" s="13"/>
    </row>
    <row r="37" spans="2:9" x14ac:dyDescent="0.25">
      <c r="B37" t="s">
        <v>21</v>
      </c>
    </row>
    <row r="39" spans="2:9" x14ac:dyDescent="0.25">
      <c r="B39" s="1" t="s">
        <v>0</v>
      </c>
      <c r="C39" s="2"/>
      <c r="D39" s="2"/>
      <c r="E39" s="2"/>
      <c r="F39" s="2"/>
      <c r="G39" s="3"/>
    </row>
    <row r="40" spans="2:9" x14ac:dyDescent="0.25">
      <c r="B40" s="4" t="s">
        <v>1</v>
      </c>
      <c r="C40" s="5" t="s">
        <v>5</v>
      </c>
      <c r="D40" s="5" t="s">
        <v>6</v>
      </c>
      <c r="E40" s="5" t="s">
        <v>7</v>
      </c>
      <c r="F40" s="5" t="s">
        <v>8</v>
      </c>
      <c r="G40" s="6" t="s">
        <v>11</v>
      </c>
      <c r="I40" t="s">
        <v>17</v>
      </c>
    </row>
    <row r="41" spans="2:9" x14ac:dyDescent="0.25">
      <c r="B41" s="7" t="s">
        <v>14</v>
      </c>
      <c r="C41" s="5">
        <v>8.52</v>
      </c>
      <c r="D41" s="5">
        <v>8.9499999999999993</v>
      </c>
      <c r="E41" s="5"/>
      <c r="F41" s="8">
        <f>2 * ((ABS(E41 - C41)) / (C41 + E41)) * 100</f>
        <v>200</v>
      </c>
      <c r="G41" s="6">
        <f>D41</f>
        <v>8.9499999999999993</v>
      </c>
      <c r="I41" s="8">
        <f>2 * ((ABS(D41 - C41)) / (C41 + D41)) * 100</f>
        <v>4.9227246708643362</v>
      </c>
    </row>
    <row r="42" spans="2:9" x14ac:dyDescent="0.25">
      <c r="B42" s="9" t="s">
        <v>2</v>
      </c>
      <c r="C42" s="5" t="s">
        <v>22</v>
      </c>
      <c r="D42" s="5"/>
      <c r="E42" s="5"/>
      <c r="F42" s="5"/>
      <c r="G42" s="6"/>
    </row>
    <row r="43" spans="2:9" x14ac:dyDescent="0.25">
      <c r="B43" s="7" t="s">
        <v>12</v>
      </c>
      <c r="C43" s="5">
        <v>4.4299999999999999E-3</v>
      </c>
      <c r="D43" s="5">
        <v>4.47E-3</v>
      </c>
      <c r="E43" s="5"/>
      <c r="F43" s="8">
        <f>2 * ((ABS(E43 - C43)) / (C43 + E43)) * 100</f>
        <v>200</v>
      </c>
      <c r="G43" s="6">
        <f>D43</f>
        <v>4.47E-3</v>
      </c>
      <c r="I43" s="8">
        <f>2 * ((ABS(D43 - C43)) / (C43 + D43)) * 100</f>
        <v>0.89887640449438433</v>
      </c>
    </row>
    <row r="44" spans="2:9" x14ac:dyDescent="0.25">
      <c r="B44" s="9" t="s">
        <v>2</v>
      </c>
      <c r="C44" s="5" t="s">
        <v>22</v>
      </c>
      <c r="D44" s="5"/>
      <c r="E44" s="5"/>
      <c r="F44" s="5"/>
      <c r="G44" s="6"/>
    </row>
    <row r="45" spans="2:9" x14ac:dyDescent="0.25">
      <c r="B45" s="7" t="s">
        <v>3</v>
      </c>
      <c r="C45" s="10">
        <v>4.2300000000000004</v>
      </c>
      <c r="D45" s="10">
        <v>4.0199999999999996</v>
      </c>
      <c r="E45" s="10"/>
      <c r="F45" s="8">
        <f>2 * ((ABS(E45 - C45)) / (C45 + E45)) * 100</f>
        <v>200</v>
      </c>
      <c r="G45" s="15">
        <f>D45</f>
        <v>4.0199999999999996</v>
      </c>
      <c r="I45" s="8">
        <f>2 * ((ABS(D45 - C45)) / (C45 + D45)) * 100</f>
        <v>5.0909090909091121</v>
      </c>
    </row>
    <row r="46" spans="2:9" x14ac:dyDescent="0.25">
      <c r="B46" s="7" t="s">
        <v>4</v>
      </c>
      <c r="C46" s="14">
        <v>1387</v>
      </c>
      <c r="D46" s="14">
        <v>7183</v>
      </c>
      <c r="E46" s="5"/>
      <c r="F46" s="5"/>
      <c r="G46" s="6"/>
    </row>
    <row r="47" spans="2:9" x14ac:dyDescent="0.25">
      <c r="B47" s="11" t="s">
        <v>13</v>
      </c>
      <c r="C47" s="12">
        <v>0.31</v>
      </c>
      <c r="D47" s="12"/>
      <c r="E47" s="12"/>
      <c r="F47" s="12"/>
      <c r="G47" s="13"/>
    </row>
    <row r="50" spans="2:9" x14ac:dyDescent="0.25">
      <c r="B50" s="1" t="s">
        <v>15</v>
      </c>
      <c r="C50" s="2"/>
      <c r="D50" s="2"/>
      <c r="E50" s="2"/>
      <c r="F50" s="2"/>
      <c r="G50" s="3"/>
    </row>
    <row r="51" spans="2:9" x14ac:dyDescent="0.25">
      <c r="B51" s="4" t="s">
        <v>16</v>
      </c>
      <c r="C51" s="5" t="s">
        <v>5</v>
      </c>
      <c r="D51" s="5" t="s">
        <v>6</v>
      </c>
      <c r="E51" s="5" t="s">
        <v>7</v>
      </c>
      <c r="F51" s="5" t="s">
        <v>8</v>
      </c>
      <c r="G51" s="6" t="s">
        <v>11</v>
      </c>
      <c r="I51" t="s">
        <v>17</v>
      </c>
    </row>
    <row r="52" spans="2:9" x14ac:dyDescent="0.25">
      <c r="B52" s="7" t="s">
        <v>14</v>
      </c>
      <c r="C52" s="5">
        <v>5.99</v>
      </c>
      <c r="D52" s="5">
        <v>6.27</v>
      </c>
      <c r="E52" s="5"/>
      <c r="F52" s="8">
        <f>2 * ((ABS(E52 - C52)) / (C52 + E52)) * 100</f>
        <v>200</v>
      </c>
      <c r="G52" s="6">
        <f>D52</f>
        <v>6.27</v>
      </c>
      <c r="I52" s="8">
        <f>2 * ((ABS(D52 - C52)) / (C52 + D52)) * 100</f>
        <v>4.5676998368678525</v>
      </c>
    </row>
    <row r="53" spans="2:9" x14ac:dyDescent="0.25">
      <c r="B53" s="9" t="s">
        <v>2</v>
      </c>
      <c r="C53" s="5" t="s">
        <v>22</v>
      </c>
      <c r="D53" s="5"/>
      <c r="E53" s="5"/>
      <c r="F53" s="5"/>
      <c r="G53" s="6"/>
      <c r="I53" s="8"/>
    </row>
    <row r="54" spans="2:9" x14ac:dyDescent="0.25">
      <c r="B54" s="7" t="s">
        <v>12</v>
      </c>
      <c r="C54" s="5">
        <v>3.16E-3</v>
      </c>
      <c r="D54" s="5">
        <v>3.2000000000000002E-3</v>
      </c>
      <c r="E54" s="5"/>
      <c r="F54" s="8">
        <f>2 * ((ABS(E54 - C54)) / (C54 + E54)) * 100</f>
        <v>200</v>
      </c>
      <c r="G54" s="6">
        <f>D54</f>
        <v>3.2000000000000002E-3</v>
      </c>
      <c r="I54" s="8">
        <f>2 * ((ABS(D54 - C54)) / (C54 + D54)) * 100</f>
        <v>1.2578616352201291</v>
      </c>
    </row>
    <row r="55" spans="2:9" x14ac:dyDescent="0.25">
      <c r="B55" s="9" t="s">
        <v>2</v>
      </c>
      <c r="C55" s="5" t="s">
        <v>22</v>
      </c>
      <c r="D55" s="5"/>
      <c r="E55" s="5"/>
      <c r="F55" s="5"/>
      <c r="G55" s="6"/>
    </row>
    <row r="56" spans="2:9" x14ac:dyDescent="0.25">
      <c r="B56" s="7" t="s">
        <v>3</v>
      </c>
      <c r="C56" s="10">
        <v>6.01</v>
      </c>
      <c r="D56" s="10">
        <v>5.74</v>
      </c>
      <c r="E56" s="10"/>
      <c r="F56" s="8">
        <f>2 * ((ABS(E56 - C56)) / (C56 + E56)) * 100</f>
        <v>200</v>
      </c>
      <c r="G56" s="15">
        <f>D56</f>
        <v>5.74</v>
      </c>
      <c r="I56" s="8">
        <f>2 * ((ABS(D56 - C56)) / (C56 + D56)) * 100</f>
        <v>4.5957446808510563</v>
      </c>
    </row>
    <row r="57" spans="2:9" x14ac:dyDescent="0.25">
      <c r="B57" s="7" t="s">
        <v>4</v>
      </c>
      <c r="C57" s="5">
        <v>1257</v>
      </c>
      <c r="D57" s="14">
        <v>6278</v>
      </c>
      <c r="E57" s="14"/>
      <c r="F57" s="5"/>
      <c r="G57" s="6"/>
    </row>
    <row r="58" spans="2:9" x14ac:dyDescent="0.25">
      <c r="B58" s="11" t="s">
        <v>13</v>
      </c>
      <c r="C58" s="12">
        <v>0.44</v>
      </c>
      <c r="D58" s="12"/>
      <c r="E58" s="12"/>
      <c r="F58" s="12"/>
      <c r="G58" s="13"/>
    </row>
    <row r="61" spans="2:9" x14ac:dyDescent="0.25">
      <c r="B61" s="1" t="s">
        <v>18</v>
      </c>
      <c r="C61" s="2"/>
      <c r="D61" s="2"/>
      <c r="E61" s="2"/>
      <c r="F61" s="2"/>
      <c r="G61" s="3"/>
    </row>
    <row r="62" spans="2:9" x14ac:dyDescent="0.25">
      <c r="B62" s="4" t="s">
        <v>19</v>
      </c>
      <c r="C62" s="5" t="s">
        <v>5</v>
      </c>
      <c r="D62" s="5" t="s">
        <v>6</v>
      </c>
      <c r="E62" s="5" t="s">
        <v>7</v>
      </c>
      <c r="F62" s="5" t="s">
        <v>8</v>
      </c>
      <c r="G62" s="6" t="s">
        <v>11</v>
      </c>
      <c r="I62" t="s">
        <v>17</v>
      </c>
    </row>
    <row r="63" spans="2:9" x14ac:dyDescent="0.25">
      <c r="B63" s="7" t="s">
        <v>14</v>
      </c>
      <c r="C63" s="5">
        <v>4.3899999999999997</v>
      </c>
      <c r="D63" s="5">
        <v>4.9800000000000004</v>
      </c>
      <c r="E63" s="5">
        <v>4.97</v>
      </c>
      <c r="F63" s="8">
        <f>2 * ((ABS(E63 - C63)) / (C63 + E63)) * 100</f>
        <v>12.393162393162395</v>
      </c>
      <c r="G63" s="6">
        <f>E63</f>
        <v>4.97</v>
      </c>
      <c r="I63" s="8">
        <f>2 * ((ABS(D63 - C63)) / (C63 + D63)) * 100</f>
        <v>12.593383137673442</v>
      </c>
    </row>
    <row r="64" spans="2:9" x14ac:dyDescent="0.25">
      <c r="B64" s="9" t="s">
        <v>2</v>
      </c>
      <c r="C64" s="5" t="s">
        <v>22</v>
      </c>
      <c r="D64" s="5"/>
      <c r="E64" s="5"/>
      <c r="F64" s="5"/>
      <c r="G64" s="6"/>
    </row>
    <row r="65" spans="2:9" x14ac:dyDescent="0.25">
      <c r="B65" s="7" t="s">
        <v>12</v>
      </c>
      <c r="C65" s="5">
        <v>2.4299999999999999E-3</v>
      </c>
      <c r="D65" s="5">
        <v>2.49E-3</v>
      </c>
      <c r="E65" s="5">
        <v>2.5000000000000001E-3</v>
      </c>
      <c r="F65" s="8">
        <f>2 * ((ABS(E65 - C65)) / (C65 + E65)) * 100</f>
        <v>2.8397565922920966</v>
      </c>
      <c r="G65" s="6">
        <f>E65</f>
        <v>2.5000000000000001E-3</v>
      </c>
      <c r="I65" s="8">
        <f>2 * ((ABS(D65 - C65)) / (C65 + D65)) * 100</f>
        <v>2.4390243902439086</v>
      </c>
    </row>
    <row r="66" spans="2:9" x14ac:dyDescent="0.25">
      <c r="B66" s="9" t="s">
        <v>2</v>
      </c>
      <c r="C66" s="5" t="s">
        <v>22</v>
      </c>
      <c r="D66" s="5"/>
      <c r="E66" s="5"/>
      <c r="F66" s="5"/>
      <c r="G66" s="6"/>
    </row>
    <row r="67" spans="2:9" x14ac:dyDescent="0.25">
      <c r="B67" s="7" t="s">
        <v>3</v>
      </c>
      <c r="C67" s="10">
        <v>8.19</v>
      </c>
      <c r="D67" s="10">
        <v>7.23</v>
      </c>
      <c r="E67" s="10">
        <v>7.25</v>
      </c>
      <c r="F67" s="8">
        <f>2 * ((ABS(E67 - C67)) / (C67 + E67)) * 100</f>
        <v>12.176165803108802</v>
      </c>
      <c r="G67" s="6">
        <f>E67</f>
        <v>7.25</v>
      </c>
      <c r="I67" s="8">
        <f>2 * ((ABS(D67 - C67)) / (C67 + D67)) * 100</f>
        <v>12.451361867704268</v>
      </c>
    </row>
    <row r="68" spans="2:9" x14ac:dyDescent="0.25">
      <c r="B68" s="7" t="s">
        <v>4</v>
      </c>
      <c r="C68" s="14">
        <v>1057</v>
      </c>
      <c r="D68" s="14">
        <v>7918</v>
      </c>
      <c r="E68" s="5">
        <v>63526</v>
      </c>
      <c r="F68" s="5"/>
      <c r="G68" s="6"/>
    </row>
    <row r="69" spans="2:9" x14ac:dyDescent="0.25">
      <c r="B69" s="11" t="s">
        <v>13</v>
      </c>
      <c r="C69" s="12">
        <v>0.56999999999999995</v>
      </c>
      <c r="D69" s="12"/>
      <c r="E69" s="12"/>
      <c r="F69" s="12"/>
      <c r="G69" s="13"/>
    </row>
  </sheetData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2B13397A7373419ADAB6F847ABC796" ma:contentTypeVersion="4" ma:contentTypeDescription="Create a new document." ma:contentTypeScope="" ma:versionID="c3d4b2d61ec43d255ef14b5cb7283421">
  <xsd:schema xmlns:xsd="http://www.w3.org/2001/XMLSchema" xmlns:xs="http://www.w3.org/2001/XMLSchema" xmlns:p="http://schemas.microsoft.com/office/2006/metadata/properties" xmlns:ns3="b9b6ac8c-701d-42af-b8a4-2a3ee5ec467a" targetNamespace="http://schemas.microsoft.com/office/2006/metadata/properties" ma:root="true" ma:fieldsID="c4ccdb30a6e271b517e974ad2c8c0895" ns3:_="">
    <xsd:import namespace="b9b6ac8c-701d-42af-b8a4-2a3ee5ec467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6ac8c-701d-42af-b8a4-2a3ee5ec467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339250-92F8-420C-A479-2F5257E3B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b6ac8c-701d-42af-b8a4-2a3ee5ec46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3A4BD7-8BDA-4ABA-8904-45BC00FCF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1C9D88-ADE0-494F-B23C-F3729300D1D3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b9b6ac8c-701d-42af-b8a4-2a3ee5ec467a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Oates</dc:creator>
  <cp:lastModifiedBy>Carson Oates</cp:lastModifiedBy>
  <dcterms:created xsi:type="dcterms:W3CDTF">2026-10-22T03:02:40Z</dcterms:created>
  <dcterms:modified xsi:type="dcterms:W3CDTF">2026-10-22T07:54:46Z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0x010100C82B13397A7373419ADAB6F847ABC796</vt:lpwstr>
  </property>
</Properties>
</file>